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nacantillo/Downloads/"/>
    </mc:Choice>
  </mc:AlternateContent>
  <xr:revisionPtr revIDLastSave="0" documentId="8_{051E7927-86A9-FA4C-A9AE-C4CFA21EB64D}" xr6:coauthVersionLast="47" xr6:coauthVersionMax="47" xr10:uidLastSave="{00000000-0000-0000-0000-000000000000}"/>
  <bookViews>
    <workbookView xWindow="0" yWindow="740" windowWidth="29400" windowHeight="18380" activeTab="6" xr2:uid="{844C0155-A1FF-5543-93DA-78E2540DF4F0}"/>
  </bookViews>
  <sheets>
    <sheet name="CategoriaAuto" sheetId="3" r:id="rId1"/>
    <sheet name="Categoria" sheetId="7" r:id="rId2"/>
    <sheet name="EstadoAlquiler" sheetId="6" r:id="rId3"/>
    <sheet name="Auto" sheetId="2" r:id="rId4"/>
    <sheet name="Cliente" sheetId="1" r:id="rId5"/>
    <sheet name="Alquiler" sheetId="5" r:id="rId6"/>
    <sheet name="MedioDePago" sheetId="8" r:id="rId7"/>
    <sheet name="Pago" sheetId="9" r:id="rId8"/>
  </sheets>
  <definedNames>
    <definedName name="Alquiler">Alquiler!$A$2:$I$6</definedName>
    <definedName name="Auto">Auto!$A$2:$H$6</definedName>
    <definedName name="Categoria">Categoria!$A$2:$D$5</definedName>
    <definedName name="CategoriaAuto">CategoriaAuto!$A$2:$D$5</definedName>
    <definedName name="Cliente">Cliente!$A$2:$G$6</definedName>
    <definedName name="Estado_alquiler">EstadoAlquiler!$A$2:$D$6</definedName>
    <definedName name="id_alquiler">Alquiler!$A$2:$A$6</definedName>
    <definedName name="id_auto">Auto!$A$2:$A$6</definedName>
    <definedName name="id_categoria">Categoria!$A$2:$A$5</definedName>
    <definedName name="id_categoriaAuto">CategoriaAuto!$A$2:$A$5</definedName>
    <definedName name="id_cliente">Cliente!$A$2:$A$6</definedName>
    <definedName name="id_estadoAlquiler">EstadoAlquiler!$A$2:$A$4</definedName>
    <definedName name="id_medioDePago">MedioDePago!$A$2:$A$5</definedName>
    <definedName name="MedioDePago">MedioDePago!$A$2:$C$5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5" i="5"/>
  <c r="A3" i="5"/>
  <c r="A4" i="5"/>
  <c r="A6" i="5"/>
  <c r="C3" i="5"/>
  <c r="D3" i="5" s="1"/>
  <c r="E3" i="5" s="1"/>
  <c r="C4" i="5"/>
  <c r="D4" i="5" s="1"/>
  <c r="E4" i="5" s="1"/>
  <c r="C5" i="5"/>
  <c r="D5" i="5" s="1"/>
  <c r="C6" i="5"/>
  <c r="D6" i="5" s="1"/>
  <c r="H3" i="2"/>
  <c r="H4" i="2"/>
  <c r="H5" i="2"/>
  <c r="H6" i="2"/>
  <c r="H2" i="2"/>
  <c r="C3" i="9" l="1"/>
  <c r="C5" i="9"/>
  <c r="E6" i="5"/>
  <c r="E5" i="5"/>
  <c r="I6" i="5"/>
  <c r="I5" i="5"/>
  <c r="I4" i="5"/>
  <c r="I3" i="5"/>
  <c r="C2" i="5" l="1"/>
  <c r="D2" i="5" s="1"/>
  <c r="I2" i="5" l="1"/>
  <c r="E2" i="5"/>
  <c r="C2" i="9" l="1"/>
  <c r="C4" i="9"/>
  <c r="C6" i="9"/>
</calcChain>
</file>

<file path=xl/sharedStrings.xml><?xml version="1.0" encoding="utf-8"?>
<sst xmlns="http://schemas.openxmlformats.org/spreadsheetml/2006/main" count="179" uniqueCount="129">
  <si>
    <t>Identificación</t>
  </si>
  <si>
    <t>Nombre completo</t>
  </si>
  <si>
    <t>Dirección</t>
  </si>
  <si>
    <t>Teléfono</t>
  </si>
  <si>
    <t>Correo electrónico</t>
  </si>
  <si>
    <t>Ana Pérez</t>
  </si>
  <si>
    <t>Calle A 123</t>
  </si>
  <si>
    <t>ana@example.com</t>
  </si>
  <si>
    <t>Carlos Gómez</t>
  </si>
  <si>
    <t>Calle B 456</t>
  </si>
  <si>
    <t>carlos@example.com</t>
  </si>
  <si>
    <t>María Rodríguez</t>
  </si>
  <si>
    <t>Calle C 789</t>
  </si>
  <si>
    <t>maria@example.com</t>
  </si>
  <si>
    <t>Juan López</t>
  </si>
  <si>
    <t>Calle D 101</t>
  </si>
  <si>
    <t>juan@example.com</t>
  </si>
  <si>
    <t>Laura Sánchez</t>
  </si>
  <si>
    <t>Calle E 202</t>
  </si>
  <si>
    <t>laura@example.com</t>
  </si>
  <si>
    <t>Placa</t>
  </si>
  <si>
    <t>Marca</t>
  </si>
  <si>
    <t>Modelo</t>
  </si>
  <si>
    <t>Año</t>
  </si>
  <si>
    <t>ABC123</t>
  </si>
  <si>
    <t>Toyota</t>
  </si>
  <si>
    <t>Corolla</t>
  </si>
  <si>
    <t>DEF456</t>
  </si>
  <si>
    <t>Ford</t>
  </si>
  <si>
    <t>Focus</t>
  </si>
  <si>
    <t>GHI789</t>
  </si>
  <si>
    <t>Chevrolet</t>
  </si>
  <si>
    <t>Cruze</t>
  </si>
  <si>
    <t>JKL101</t>
  </si>
  <si>
    <t>Nissan</t>
  </si>
  <si>
    <t>Sentra</t>
  </si>
  <si>
    <t>MNO202</t>
  </si>
  <si>
    <t>Honda</t>
  </si>
  <si>
    <t>Civic</t>
  </si>
  <si>
    <t>C-77</t>
  </si>
  <si>
    <t>C-22</t>
  </si>
  <si>
    <t>C-33</t>
  </si>
  <si>
    <t>C-44</t>
  </si>
  <si>
    <t>Nombre Categoría</t>
  </si>
  <si>
    <t>Descripción</t>
  </si>
  <si>
    <t>Tarifa base por día</t>
  </si>
  <si>
    <t>Campero</t>
  </si>
  <si>
    <t>Vehículo todoterreno ideal para caminos difíciles.</t>
  </si>
  <si>
    <t>Camioneta</t>
  </si>
  <si>
    <t>Vehículo espacioso y versátil para familias o carga.</t>
  </si>
  <si>
    <t>Auto</t>
  </si>
  <si>
    <t>Automóvil estándar para uso diario y comodidad.</t>
  </si>
  <si>
    <t>Cuatrimoto</t>
  </si>
  <si>
    <t>Vehículo compacto para terrenos difíciles y recreación.</t>
  </si>
  <si>
    <t>Número de alquiler</t>
  </si>
  <si>
    <t>Cliente asociado</t>
  </si>
  <si>
    <t>Auto alquilado</t>
  </si>
  <si>
    <t>Fecha de inicio</t>
  </si>
  <si>
    <t>Fecha de finalización</t>
  </si>
  <si>
    <t>Número de días</t>
  </si>
  <si>
    <t>Costo total</t>
  </si>
  <si>
    <t>Estado del alquiler</t>
  </si>
  <si>
    <t>2025-03-01</t>
  </si>
  <si>
    <t>2025-03-05</t>
  </si>
  <si>
    <t>2025-03-10</t>
  </si>
  <si>
    <t>2025-03-15</t>
  </si>
  <si>
    <t>2025-03-20</t>
  </si>
  <si>
    <t>2025-03-25</t>
  </si>
  <si>
    <t>Estado Disponibilidad</t>
  </si>
  <si>
    <t>DISPONIBLE</t>
  </si>
  <si>
    <t>NO DISPONIBLE</t>
  </si>
  <si>
    <t>A-01</t>
  </si>
  <si>
    <t>A-02</t>
  </si>
  <si>
    <t>A-03</t>
  </si>
  <si>
    <t>A-04</t>
  </si>
  <si>
    <t>A-05</t>
  </si>
  <si>
    <t>Id Estado</t>
  </si>
  <si>
    <t>ID Categoria</t>
  </si>
  <si>
    <t>Costo por Dia</t>
  </si>
  <si>
    <t>Tipo de Estado</t>
  </si>
  <si>
    <t>E-01</t>
  </si>
  <si>
    <t>ACTIVO</t>
  </si>
  <si>
    <t>FINALIZADO</t>
  </si>
  <si>
    <t>CANCELADO</t>
  </si>
  <si>
    <t>E-02</t>
  </si>
  <si>
    <t>E-03</t>
  </si>
  <si>
    <t>El alquiler está en curso, el cliente aún tiene el vehículo.</t>
  </si>
  <si>
    <t>El alquiler ha concluido y el vehículo ha sido devuelto.</t>
  </si>
  <si>
    <t>El alquiler fue cancelado antes de su inicio o durante su transcurso.</t>
  </si>
  <si>
    <t>ID medio de pago</t>
  </si>
  <si>
    <t>Medio de pago</t>
  </si>
  <si>
    <t>MP-01</t>
  </si>
  <si>
    <t>Efectivo</t>
  </si>
  <si>
    <t>Pago realizado con dinero en físico.</t>
  </si>
  <si>
    <t>MP-02</t>
  </si>
  <si>
    <t>Tarjeta de crédito</t>
  </si>
  <si>
    <t>Pago realizado con tarjeta de crédito bancaria.</t>
  </si>
  <si>
    <t>MP-03</t>
  </si>
  <si>
    <t>Tarjeta de débito</t>
  </si>
  <si>
    <t>Pago realizado con tarjeta de débito bancaria.</t>
  </si>
  <si>
    <t>MP-04</t>
  </si>
  <si>
    <t>Transferencia bancaria</t>
  </si>
  <si>
    <t>Pago realizado mediante transferencia electrónica.</t>
  </si>
  <si>
    <t>Número de pago</t>
  </si>
  <si>
    <t>Alquiler asociado</t>
  </si>
  <si>
    <t>Monto pagado</t>
  </si>
  <si>
    <t>Fecha de pago</t>
  </si>
  <si>
    <t>ID categoría Auto</t>
  </si>
  <si>
    <t>ID Categoria Auto</t>
  </si>
  <si>
    <t>I</t>
  </si>
  <si>
    <t>II</t>
  </si>
  <si>
    <t>III</t>
  </si>
  <si>
    <t>IIII</t>
  </si>
  <si>
    <t>ID categoria</t>
  </si>
  <si>
    <t>ID Auto</t>
  </si>
  <si>
    <t>Q3</t>
  </si>
  <si>
    <t>Q12</t>
  </si>
  <si>
    <t>Q46</t>
  </si>
  <si>
    <t>Q80</t>
  </si>
  <si>
    <t>Q100</t>
  </si>
  <si>
    <t>Estado Alquiler</t>
  </si>
  <si>
    <t>Costo por dia</t>
  </si>
  <si>
    <t>F1</t>
  </si>
  <si>
    <t>F2</t>
  </si>
  <si>
    <t>F3</t>
  </si>
  <si>
    <t>F4</t>
  </si>
  <si>
    <t>F5</t>
  </si>
  <si>
    <t>Alquiler</t>
  </si>
  <si>
    <t>Descricion 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</si>
</sst>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E1E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0" borderId="1" xfId="0" applyFont="1" applyBorder="1"/>
    <xf numFmtId="0" fontId="4" fillId="7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6" borderId="1" xfId="0" applyFill="1" applyBorder="1"/>
    <xf numFmtId="0" fontId="1" fillId="9" borderId="0" xfId="0" applyFont="1" applyFill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7B88-5E73-3F4F-A4C1-8B666E7C5BBE}">
  <dimension ref="A1:E5"/>
  <sheetViews>
    <sheetView zoomScale="161" workbookViewId="0">
      <selection activeCell="C14" sqref="C14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3" width="45.83203125" bestFit="1" customWidth="1"/>
    <col min="4" max="4" width="16.33203125" bestFit="1" customWidth="1"/>
    <col min="5" max="5" width="19.1640625" bestFit="1" customWidth="1"/>
  </cols>
  <sheetData>
    <row r="1" spans="1:5" x14ac:dyDescent="0.2">
      <c r="A1" s="5" t="s">
        <v>107</v>
      </c>
      <c r="B1" s="5" t="s">
        <v>43</v>
      </c>
      <c r="C1" s="5" t="s">
        <v>44</v>
      </c>
      <c r="D1" s="5" t="s">
        <v>45</v>
      </c>
      <c r="E1" s="8"/>
    </row>
    <row r="2" spans="1:5" x14ac:dyDescent="0.2">
      <c r="A2" s="7" t="s">
        <v>39</v>
      </c>
      <c r="B2" s="6" t="s">
        <v>46</v>
      </c>
      <c r="C2" s="6" t="s">
        <v>47</v>
      </c>
      <c r="D2" s="34">
        <v>80</v>
      </c>
      <c r="E2" s="9"/>
    </row>
    <row r="3" spans="1:5" x14ac:dyDescent="0.2">
      <c r="A3" s="7" t="s">
        <v>40</v>
      </c>
      <c r="B3" s="6" t="s">
        <v>48</v>
      </c>
      <c r="C3" s="6" t="s">
        <v>49</v>
      </c>
      <c r="D3" s="34">
        <v>100</v>
      </c>
      <c r="E3" s="9"/>
    </row>
    <row r="4" spans="1:5" x14ac:dyDescent="0.2">
      <c r="A4" s="7" t="s">
        <v>41</v>
      </c>
      <c r="B4" s="6" t="s">
        <v>50</v>
      </c>
      <c r="C4" s="6" t="s">
        <v>51</v>
      </c>
      <c r="D4" s="34">
        <v>60</v>
      </c>
      <c r="E4" s="9"/>
    </row>
    <row r="5" spans="1:5" x14ac:dyDescent="0.2">
      <c r="A5" s="7" t="s">
        <v>42</v>
      </c>
      <c r="B5" s="6" t="s">
        <v>52</v>
      </c>
      <c r="C5" s="6" t="s">
        <v>53</v>
      </c>
      <c r="D5" s="34">
        <v>50</v>
      </c>
      <c r="E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336A-538E-5946-87A5-200F9D6E468D}">
  <dimension ref="A1:D5"/>
  <sheetViews>
    <sheetView zoomScale="150" workbookViewId="0">
      <selection activeCell="B3" sqref="B3"/>
    </sheetView>
  </sheetViews>
  <sheetFormatPr baseColWidth="10" defaultRowHeight="16" x14ac:dyDescent="0.2"/>
  <cols>
    <col min="2" max="2" width="12.1640625" bestFit="1" customWidth="1"/>
    <col min="3" max="3" width="18.83203125" bestFit="1" customWidth="1"/>
    <col min="4" max="4" width="15.6640625" bestFit="1" customWidth="1"/>
  </cols>
  <sheetData>
    <row r="1" spans="1:4" x14ac:dyDescent="0.2">
      <c r="A1" s="16" t="s">
        <v>77</v>
      </c>
      <c r="B1" s="10" t="s">
        <v>78</v>
      </c>
      <c r="C1" s="10" t="s">
        <v>68</v>
      </c>
      <c r="D1" s="14" t="s">
        <v>108</v>
      </c>
    </row>
    <row r="2" spans="1:4" x14ac:dyDescent="0.2">
      <c r="A2" s="17" t="s">
        <v>109</v>
      </c>
      <c r="B2" s="4">
        <v>80</v>
      </c>
      <c r="C2" s="4" t="s">
        <v>69</v>
      </c>
      <c r="D2" s="15" t="s">
        <v>39</v>
      </c>
    </row>
    <row r="3" spans="1:4" x14ac:dyDescent="0.2">
      <c r="A3" s="17" t="s">
        <v>110</v>
      </c>
      <c r="B3" s="4">
        <v>100</v>
      </c>
      <c r="C3" s="4" t="s">
        <v>70</v>
      </c>
      <c r="D3" s="15" t="s">
        <v>40</v>
      </c>
    </row>
    <row r="4" spans="1:4" x14ac:dyDescent="0.2">
      <c r="A4" s="17" t="s">
        <v>111</v>
      </c>
      <c r="B4" s="4">
        <v>60</v>
      </c>
      <c r="C4" s="4" t="s">
        <v>69</v>
      </c>
      <c r="D4" s="15" t="s">
        <v>41</v>
      </c>
    </row>
    <row r="5" spans="1:4" x14ac:dyDescent="0.2">
      <c r="A5" s="17" t="s">
        <v>112</v>
      </c>
      <c r="B5" s="4">
        <v>50</v>
      </c>
      <c r="C5" s="4" t="s">
        <v>69</v>
      </c>
      <c r="D5" s="15" t="s">
        <v>42</v>
      </c>
    </row>
  </sheetData>
  <dataValidations count="1">
    <dataValidation type="list" allowBlank="1" showInputMessage="1" showErrorMessage="1" sqref="B2:B5" xr:uid="{81F39021-A88B-2C43-9070-244F6D3673C6}">
      <formula1>Tarifa_base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BC74-A25B-C24B-A77C-3DF1BF52F92D}">
  <dimension ref="A1:D6"/>
  <sheetViews>
    <sheetView zoomScale="178" workbookViewId="0">
      <selection activeCell="D2" sqref="D2"/>
    </sheetView>
  </sheetViews>
  <sheetFormatPr baseColWidth="10" defaultRowHeight="16" x14ac:dyDescent="0.2"/>
  <cols>
    <col min="2" max="2" width="12.6640625" bestFit="1" customWidth="1"/>
    <col min="3" max="3" width="56" bestFit="1" customWidth="1"/>
  </cols>
  <sheetData>
    <row r="1" spans="1:4" x14ac:dyDescent="0.2">
      <c r="A1" s="31" t="s">
        <v>76</v>
      </c>
      <c r="B1" s="31" t="s">
        <v>79</v>
      </c>
      <c r="C1" s="31" t="s">
        <v>44</v>
      </c>
      <c r="D1" s="30" t="s">
        <v>127</v>
      </c>
    </row>
    <row r="2" spans="1:4" x14ac:dyDescent="0.2">
      <c r="A2" s="11" t="s">
        <v>80</v>
      </c>
      <c r="B2" s="6" t="s">
        <v>81</v>
      </c>
      <c r="C2" s="6" t="s">
        <v>86</v>
      </c>
      <c r="D2" s="32" t="s">
        <v>72</v>
      </c>
    </row>
    <row r="3" spans="1:4" x14ac:dyDescent="0.2">
      <c r="A3" s="11" t="s">
        <v>84</v>
      </c>
      <c r="B3" s="6" t="s">
        <v>82</v>
      </c>
      <c r="C3" s="6" t="s">
        <v>87</v>
      </c>
      <c r="D3" s="32" t="s">
        <v>74</v>
      </c>
    </row>
    <row r="4" spans="1:4" x14ac:dyDescent="0.2">
      <c r="A4" s="11" t="s">
        <v>85</v>
      </c>
      <c r="B4" s="6" t="s">
        <v>83</v>
      </c>
      <c r="C4" s="6" t="s">
        <v>88</v>
      </c>
      <c r="D4" s="32" t="s">
        <v>73</v>
      </c>
    </row>
    <row r="5" spans="1:4" x14ac:dyDescent="0.2">
      <c r="A5" s="11" t="s">
        <v>80</v>
      </c>
      <c r="B5" s="6" t="s">
        <v>81</v>
      </c>
      <c r="C5" s="6" t="s">
        <v>86</v>
      </c>
      <c r="D5" s="32" t="s">
        <v>75</v>
      </c>
    </row>
    <row r="6" spans="1:4" x14ac:dyDescent="0.2">
      <c r="A6" s="11" t="s">
        <v>84</v>
      </c>
      <c r="B6" s="6" t="s">
        <v>82</v>
      </c>
      <c r="C6" s="6" t="s">
        <v>87</v>
      </c>
      <c r="D6" s="3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3D5D-1611-0E41-8E79-61F1128CD87A}">
  <dimension ref="A1:I6"/>
  <sheetViews>
    <sheetView zoomScale="150" workbookViewId="0">
      <selection activeCell="D11" sqref="D11"/>
    </sheetView>
  </sheetViews>
  <sheetFormatPr baseColWidth="10" defaultRowHeight="16" x14ac:dyDescent="0.2"/>
  <cols>
    <col min="7" max="7" width="13" bestFit="1" customWidth="1"/>
    <col min="8" max="8" width="11.5" bestFit="1" customWidth="1"/>
  </cols>
  <sheetData>
    <row r="1" spans="1:9" x14ac:dyDescent="0.2">
      <c r="A1" s="10" t="s">
        <v>114</v>
      </c>
      <c r="B1" s="18" t="s">
        <v>20</v>
      </c>
      <c r="C1" s="18" t="s">
        <v>21</v>
      </c>
      <c r="D1" s="18" t="s">
        <v>22</v>
      </c>
      <c r="E1" s="18" t="s">
        <v>23</v>
      </c>
      <c r="F1" s="19" t="s">
        <v>113</v>
      </c>
      <c r="G1" s="22" t="s">
        <v>120</v>
      </c>
      <c r="H1" s="18" t="s">
        <v>121</v>
      </c>
      <c r="I1" s="33"/>
    </row>
    <row r="2" spans="1:9" x14ac:dyDescent="0.2">
      <c r="A2" s="20" t="s">
        <v>115</v>
      </c>
      <c r="B2" s="4" t="s">
        <v>24</v>
      </c>
      <c r="C2" s="4" t="s">
        <v>25</v>
      </c>
      <c r="D2" s="4" t="s">
        <v>26</v>
      </c>
      <c r="E2" s="4">
        <v>2020</v>
      </c>
      <c r="F2" s="17" t="s">
        <v>109</v>
      </c>
      <c r="G2" s="12" t="s">
        <v>80</v>
      </c>
      <c r="H2" s="4">
        <f>VLOOKUP(F2,Categoria,2,FALSE)</f>
        <v>80</v>
      </c>
    </row>
    <row r="3" spans="1:9" x14ac:dyDescent="0.2">
      <c r="A3" s="20" t="s">
        <v>116</v>
      </c>
      <c r="B3" s="4" t="s">
        <v>27</v>
      </c>
      <c r="C3" s="4" t="s">
        <v>28</v>
      </c>
      <c r="D3" s="4" t="s">
        <v>29</v>
      </c>
      <c r="E3" s="4">
        <v>2021</v>
      </c>
      <c r="F3" s="17" t="s">
        <v>110</v>
      </c>
      <c r="G3" s="12" t="s">
        <v>84</v>
      </c>
      <c r="H3" s="4">
        <f>VLOOKUP(F3,Categoria,2,FALSE)</f>
        <v>100</v>
      </c>
    </row>
    <row r="4" spans="1:9" x14ac:dyDescent="0.2">
      <c r="A4" s="20" t="s">
        <v>117</v>
      </c>
      <c r="B4" s="4" t="s">
        <v>30</v>
      </c>
      <c r="C4" s="4" t="s">
        <v>31</v>
      </c>
      <c r="D4" s="4" t="s">
        <v>32</v>
      </c>
      <c r="E4" s="4">
        <v>2019</v>
      </c>
      <c r="F4" s="17" t="s">
        <v>112</v>
      </c>
      <c r="G4" s="12" t="s">
        <v>84</v>
      </c>
      <c r="H4" s="4">
        <f>VLOOKUP(F4,Categoria,2,FALSE)</f>
        <v>50</v>
      </c>
    </row>
    <row r="5" spans="1:9" x14ac:dyDescent="0.2">
      <c r="A5" s="20" t="s">
        <v>118</v>
      </c>
      <c r="B5" s="4" t="s">
        <v>33</v>
      </c>
      <c r="C5" s="4" t="s">
        <v>34</v>
      </c>
      <c r="D5" s="4" t="s">
        <v>35</v>
      </c>
      <c r="E5" s="4">
        <v>2022</v>
      </c>
      <c r="F5" s="17" t="s">
        <v>111</v>
      </c>
      <c r="G5" s="12" t="s">
        <v>85</v>
      </c>
      <c r="H5" s="4">
        <f>VLOOKUP(F5,Categoria,2,FALSE)</f>
        <v>60</v>
      </c>
    </row>
    <row r="6" spans="1:9" x14ac:dyDescent="0.2">
      <c r="A6" s="20" t="s">
        <v>119</v>
      </c>
      <c r="B6" s="4" t="s">
        <v>36</v>
      </c>
      <c r="C6" s="4" t="s">
        <v>37</v>
      </c>
      <c r="D6" s="4" t="s">
        <v>38</v>
      </c>
      <c r="E6" s="4">
        <v>2023</v>
      </c>
      <c r="F6" s="17" t="s">
        <v>110</v>
      </c>
      <c r="G6" s="12" t="s">
        <v>80</v>
      </c>
      <c r="H6" s="4">
        <f>VLOOKUP(F6,Categoria,2,FALSE)</f>
        <v>100</v>
      </c>
    </row>
  </sheetData>
  <dataValidations count="3">
    <dataValidation type="list" allowBlank="1" showInputMessage="1" showErrorMessage="1" sqref="F2:F6" xr:uid="{CD0DBE41-C797-E24B-B8D1-CAB4C14CAA56}">
      <formula1>id_categoria</formula1>
    </dataValidation>
    <dataValidation type="list" allowBlank="1" showInputMessage="1" showErrorMessage="1" sqref="G2:G6" xr:uid="{F4A3950E-0FD9-B24B-BAE4-18A23FC29188}">
      <formula1>id_estadoAlquiler</formula1>
    </dataValidation>
    <dataValidation type="list" allowBlank="1" showInputMessage="1" showErrorMessage="1" sqref="I2:I6" xr:uid="{9B0FB47E-AA69-7B4F-B5CE-6E2B072FEFBF}">
      <formula1>id_cliente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6252-DC84-8448-BFDE-C008A6F80FE0}">
  <dimension ref="A1:G6"/>
  <sheetViews>
    <sheetView zoomScale="159" workbookViewId="0">
      <selection activeCell="F3" sqref="F3"/>
    </sheetView>
  </sheetViews>
  <sheetFormatPr baseColWidth="10" defaultRowHeight="16" x14ac:dyDescent="0.2"/>
  <cols>
    <col min="1" max="1" width="12" bestFit="1" customWidth="1"/>
    <col min="2" max="2" width="15.33203125" bestFit="1" customWidth="1"/>
    <col min="3" max="3" width="10.5" bestFit="1" customWidth="1"/>
    <col min="4" max="4" width="11.1640625" bestFit="1" customWidth="1"/>
    <col min="5" max="5" width="18.83203125" bestFit="1" customWidth="1"/>
    <col min="6" max="6" width="18.83203125" customWidth="1"/>
    <col min="7" max="7" width="14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8" t="s">
        <v>3</v>
      </c>
      <c r="E1" s="2" t="s">
        <v>4</v>
      </c>
      <c r="F1" s="2" t="s">
        <v>114</v>
      </c>
      <c r="G1" s="27"/>
    </row>
    <row r="2" spans="1:7" x14ac:dyDescent="0.2">
      <c r="A2" s="3">
        <v>1001</v>
      </c>
      <c r="B2" s="4" t="s">
        <v>5</v>
      </c>
      <c r="C2" s="4" t="s">
        <v>6</v>
      </c>
      <c r="D2" s="21">
        <v>3001234567</v>
      </c>
      <c r="E2" s="4" t="s">
        <v>7</v>
      </c>
      <c r="F2" s="29" t="s">
        <v>115</v>
      </c>
    </row>
    <row r="3" spans="1:7" x14ac:dyDescent="0.2">
      <c r="A3" s="3">
        <v>1002</v>
      </c>
      <c r="B3" s="4" t="s">
        <v>8</v>
      </c>
      <c r="C3" s="4" t="s">
        <v>9</v>
      </c>
      <c r="D3" s="21">
        <v>3102345678</v>
      </c>
      <c r="E3" s="4" t="s">
        <v>10</v>
      </c>
      <c r="F3" s="20" t="s">
        <v>117</v>
      </c>
    </row>
    <row r="4" spans="1:7" x14ac:dyDescent="0.2">
      <c r="A4" s="3">
        <v>1003</v>
      </c>
      <c r="B4" s="4" t="s">
        <v>11</v>
      </c>
      <c r="C4" s="4" t="s">
        <v>12</v>
      </c>
      <c r="D4" s="21">
        <v>3203456789</v>
      </c>
      <c r="E4" s="4" t="s">
        <v>13</v>
      </c>
      <c r="F4" s="20" t="s">
        <v>118</v>
      </c>
    </row>
    <row r="5" spans="1:7" x14ac:dyDescent="0.2">
      <c r="A5" s="3">
        <v>1004</v>
      </c>
      <c r="B5" s="4" t="s">
        <v>14</v>
      </c>
      <c r="C5" s="4" t="s">
        <v>15</v>
      </c>
      <c r="D5" s="21">
        <v>3304567890</v>
      </c>
      <c r="E5" s="4" t="s">
        <v>16</v>
      </c>
      <c r="F5" s="20" t="s">
        <v>119</v>
      </c>
    </row>
    <row r="6" spans="1:7" x14ac:dyDescent="0.2">
      <c r="A6" s="3">
        <v>1005</v>
      </c>
      <c r="B6" s="4" t="s">
        <v>17</v>
      </c>
      <c r="C6" s="4" t="s">
        <v>18</v>
      </c>
      <c r="D6" s="21">
        <v>3405678901</v>
      </c>
      <c r="E6" s="4" t="s">
        <v>19</v>
      </c>
      <c r="F6" s="20" t="s">
        <v>115</v>
      </c>
    </row>
  </sheetData>
  <dataValidations count="1">
    <dataValidation type="list" allowBlank="1" showInputMessage="1" showErrorMessage="1" sqref="F2:F6" xr:uid="{CA68A0AC-7087-564E-96F0-EDDDCAAB8FA6}">
      <formula1>id_auto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27EB-196D-4143-B22D-F6B76339AD5B}">
  <dimension ref="A1:J6"/>
  <sheetViews>
    <sheetView zoomScale="166" workbookViewId="0">
      <selection activeCell="A2" sqref="A2"/>
    </sheetView>
  </sheetViews>
  <sheetFormatPr baseColWidth="10" defaultRowHeight="16" x14ac:dyDescent="0.2"/>
  <cols>
    <col min="1" max="1" width="15.6640625" bestFit="1" customWidth="1"/>
    <col min="2" max="2" width="14.1640625" bestFit="1" customWidth="1"/>
    <col min="3" max="3" width="14" bestFit="1" customWidth="1"/>
    <col min="4" max="4" width="15.6640625" bestFit="1" customWidth="1"/>
    <col min="5" max="5" width="69.1640625" bestFit="1" customWidth="1"/>
    <col min="6" max="6" width="12.6640625" bestFit="1" customWidth="1"/>
    <col min="7" max="7" width="17.33203125" bestFit="1" customWidth="1"/>
    <col min="8" max="8" width="13" bestFit="1" customWidth="1"/>
    <col min="9" max="9" width="9.83203125" bestFit="1" customWidth="1"/>
    <col min="10" max="10" width="15.6640625" bestFit="1" customWidth="1"/>
  </cols>
  <sheetData>
    <row r="1" spans="1:10" x14ac:dyDescent="0.2">
      <c r="A1" s="1" t="s">
        <v>54</v>
      </c>
      <c r="B1" s="1" t="s">
        <v>55</v>
      </c>
      <c r="C1" s="1" t="s">
        <v>56</v>
      </c>
      <c r="D1" s="1" t="s">
        <v>61</v>
      </c>
      <c r="E1" s="1" t="s">
        <v>128</v>
      </c>
      <c r="F1" s="1" t="s">
        <v>57</v>
      </c>
      <c r="G1" s="1" t="s">
        <v>58</v>
      </c>
      <c r="H1" s="23" t="s">
        <v>59</v>
      </c>
      <c r="I1" s="1" t="s">
        <v>60</v>
      </c>
      <c r="J1" s="25"/>
    </row>
    <row r="2" spans="1:10" x14ac:dyDescent="0.2">
      <c r="A2" s="13" t="str">
        <f>VLOOKUP(D2,Estado_alquiler,4,FALSE)</f>
        <v>A-02</v>
      </c>
      <c r="B2" s="3">
        <v>1001</v>
      </c>
      <c r="C2" s="20" t="str">
        <f>VLOOKUP(B2,Cliente,6,FALSE)</f>
        <v>Q3</v>
      </c>
      <c r="D2" s="12" t="str">
        <f>VLOOKUP(C2,Auto,7,FALSE)</f>
        <v>E-01</v>
      </c>
      <c r="E2" s="4" t="str">
        <f>CONCATENATE(VLOOKUP(D2,Estado_alquiler,2,FALSE), " .(",VLOOKUP(D2,Estado_alquiler,3,FALSE),")")</f>
        <v>ACTIVO .(El alquiler está en curso, el cliente aún tiene el vehículo.)</v>
      </c>
      <c r="F2" s="4" t="s">
        <v>62</v>
      </c>
      <c r="G2" s="4" t="s">
        <v>63</v>
      </c>
      <c r="H2" s="21">
        <v>4</v>
      </c>
      <c r="I2" s="4">
        <f>VLOOKUP(C2,Auto,8,FALSE) *H2</f>
        <v>320</v>
      </c>
      <c r="J2" s="24"/>
    </row>
    <row r="3" spans="1:10" x14ac:dyDescent="0.2">
      <c r="A3" s="13" t="str">
        <f>VLOOKUP(D3,Estado_alquiler,4,FALSE)</f>
        <v>A-04</v>
      </c>
      <c r="B3" s="3">
        <v>1002</v>
      </c>
      <c r="C3" s="20" t="str">
        <f>VLOOKUP(B3,Cliente,6,FALSE)</f>
        <v>Q46</v>
      </c>
      <c r="D3" s="12" t="str">
        <f>VLOOKUP(C3,Auto,7,FALSE)</f>
        <v>E-02</v>
      </c>
      <c r="E3" s="4" t="str">
        <f>CONCATENATE(VLOOKUP(D3,Estado_alquiler,2,FALSE), " .(",VLOOKUP(D3,Estado_alquiler,3,FALSE),")")</f>
        <v>FINALIZADO .(El alquiler ha concluido y el vehículo ha sido devuelto.)</v>
      </c>
      <c r="F3" s="4" t="s">
        <v>63</v>
      </c>
      <c r="G3" s="4" t="s">
        <v>64</v>
      </c>
      <c r="H3" s="21">
        <v>5</v>
      </c>
      <c r="I3" s="4">
        <f>VLOOKUP(C3,Auto,8,FALSE) *H3</f>
        <v>250</v>
      </c>
      <c r="J3" s="24"/>
    </row>
    <row r="4" spans="1:10" x14ac:dyDescent="0.2">
      <c r="A4" s="13" t="str">
        <f>VLOOKUP(D4,Estado_alquiler,4,FALSE)</f>
        <v>A-03</v>
      </c>
      <c r="B4" s="3">
        <v>1003</v>
      </c>
      <c r="C4" s="20" t="str">
        <f>VLOOKUP(B4,Cliente,6,FALSE)</f>
        <v>Q80</v>
      </c>
      <c r="D4" s="12" t="str">
        <f>VLOOKUP(C4,Auto,7,FALSE)</f>
        <v>E-03</v>
      </c>
      <c r="E4" s="4" t="str">
        <f>CONCATENATE(VLOOKUP(D4,Estado_alquiler,2,FALSE), " .(",VLOOKUP(D4,Estado_alquiler,3,FALSE),")")</f>
        <v>CANCELADO .(El alquiler fue cancelado antes de su inicio o durante su transcurso.)</v>
      </c>
      <c r="F4" s="4" t="s">
        <v>64</v>
      </c>
      <c r="G4" s="4" t="s">
        <v>65</v>
      </c>
      <c r="H4" s="21">
        <v>5</v>
      </c>
      <c r="I4" s="4">
        <f>VLOOKUP(C4,Auto,8,FALSE) *H4</f>
        <v>300</v>
      </c>
      <c r="J4" s="24"/>
    </row>
    <row r="5" spans="1:10" x14ac:dyDescent="0.2">
      <c r="A5" s="13" t="str">
        <f>VLOOKUP(D5,Estado_alquiler,4,FALSE)</f>
        <v>A-02</v>
      </c>
      <c r="B5" s="3">
        <v>1004</v>
      </c>
      <c r="C5" s="20" t="str">
        <f>VLOOKUP(B5,Cliente,6,FALSE)</f>
        <v>Q100</v>
      </c>
      <c r="D5" s="12" t="str">
        <f>VLOOKUP(C5,Auto,7,FALSE)</f>
        <v>E-01</v>
      </c>
      <c r="E5" s="4" t="str">
        <f>CONCATENATE(VLOOKUP(D5,Estado_alquiler,2,FALSE), " .(",VLOOKUP(D5,Estado_alquiler,3,FALSE),")")</f>
        <v>ACTIVO .(El alquiler está en curso, el cliente aún tiene el vehículo.)</v>
      </c>
      <c r="F5" s="4" t="s">
        <v>65</v>
      </c>
      <c r="G5" s="4" t="s">
        <v>66</v>
      </c>
      <c r="H5" s="21">
        <v>5</v>
      </c>
      <c r="I5" s="4">
        <f>VLOOKUP(C5,Auto,8,FALSE) *H5</f>
        <v>500</v>
      </c>
      <c r="J5" s="24"/>
    </row>
    <row r="6" spans="1:10" x14ac:dyDescent="0.2">
      <c r="A6" s="13" t="str">
        <f>VLOOKUP(D6,Estado_alquiler,4,FALSE)</f>
        <v>A-02</v>
      </c>
      <c r="B6" s="3">
        <v>1005</v>
      </c>
      <c r="C6" s="20" t="str">
        <f>VLOOKUP(B6,Cliente,6,FALSE)</f>
        <v>Q3</v>
      </c>
      <c r="D6" s="12" t="str">
        <f>VLOOKUP(C6,Auto,7,FALSE)</f>
        <v>E-01</v>
      </c>
      <c r="E6" s="4" t="str">
        <f>CONCATENATE(VLOOKUP(D6,Estado_alquiler,2,FALSE), " .(",VLOOKUP(D6,Estado_alquiler,3,FALSE),")")</f>
        <v>ACTIVO .(El alquiler está en curso, el cliente aún tiene el vehículo.)</v>
      </c>
      <c r="F6" s="4" t="s">
        <v>66</v>
      </c>
      <c r="G6" s="4" t="s">
        <v>67</v>
      </c>
      <c r="H6" s="21">
        <v>5</v>
      </c>
      <c r="I6" s="4">
        <f>VLOOKUP(C6,Auto,8,FALSE) *H6</f>
        <v>400</v>
      </c>
      <c r="J6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495B-DC83-E745-A8FC-BF6B0B3A3EA3}">
  <dimension ref="A1:C5"/>
  <sheetViews>
    <sheetView tabSelected="1" zoomScale="172" workbookViewId="0">
      <selection activeCell="A2" sqref="A2:A5"/>
    </sheetView>
  </sheetViews>
  <sheetFormatPr baseColWidth="10" defaultRowHeight="16" x14ac:dyDescent="0.2"/>
  <cols>
    <col min="1" max="1" width="15.5" bestFit="1" customWidth="1"/>
    <col min="2" max="2" width="19.83203125" bestFit="1" customWidth="1"/>
    <col min="3" max="3" width="42.6640625" bestFit="1" customWidth="1"/>
  </cols>
  <sheetData>
    <row r="1" spans="1:3" x14ac:dyDescent="0.2">
      <c r="A1" s="5" t="s">
        <v>89</v>
      </c>
      <c r="B1" s="5" t="s">
        <v>90</v>
      </c>
      <c r="C1" s="5" t="s">
        <v>44</v>
      </c>
    </row>
    <row r="2" spans="1:3" x14ac:dyDescent="0.2">
      <c r="A2" s="26" t="s">
        <v>91</v>
      </c>
      <c r="B2" s="6" t="s">
        <v>92</v>
      </c>
      <c r="C2" s="6" t="s">
        <v>93</v>
      </c>
    </row>
    <row r="3" spans="1:3" x14ac:dyDescent="0.2">
      <c r="A3" s="26" t="s">
        <v>94</v>
      </c>
      <c r="B3" s="6" t="s">
        <v>95</v>
      </c>
      <c r="C3" s="6" t="s">
        <v>96</v>
      </c>
    </row>
    <row r="4" spans="1:3" x14ac:dyDescent="0.2">
      <c r="A4" s="26" t="s">
        <v>97</v>
      </c>
      <c r="B4" s="6" t="s">
        <v>98</v>
      </c>
      <c r="C4" s="6" t="s">
        <v>99</v>
      </c>
    </row>
    <row r="5" spans="1:3" x14ac:dyDescent="0.2">
      <c r="A5" s="26" t="s">
        <v>100</v>
      </c>
      <c r="B5" s="6" t="s">
        <v>101</v>
      </c>
      <c r="C5" s="6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1AD2-3ABD-5641-BB7C-E312E5EAEDCE}">
  <dimension ref="A1:E6"/>
  <sheetViews>
    <sheetView zoomScale="211" workbookViewId="0">
      <selection activeCell="B5" sqref="B5"/>
    </sheetView>
  </sheetViews>
  <sheetFormatPr baseColWidth="10" defaultRowHeight="16" x14ac:dyDescent="0.2"/>
  <cols>
    <col min="1" max="1" width="13.5" bestFit="1" customWidth="1"/>
    <col min="2" max="2" width="14.5" bestFit="1" customWidth="1"/>
    <col min="3" max="3" width="12" bestFit="1" customWidth="1"/>
    <col min="4" max="4" width="19.83203125" bestFit="1" customWidth="1"/>
    <col min="5" max="5" width="12" bestFit="1" customWidth="1"/>
  </cols>
  <sheetData>
    <row r="1" spans="1:5" x14ac:dyDescent="0.2">
      <c r="A1" s="1" t="s">
        <v>103</v>
      </c>
      <c r="B1" s="1" t="s">
        <v>104</v>
      </c>
      <c r="C1" s="1" t="s">
        <v>105</v>
      </c>
      <c r="D1" s="1" t="s">
        <v>90</v>
      </c>
      <c r="E1" s="1" t="s">
        <v>106</v>
      </c>
    </row>
    <row r="2" spans="1:5" x14ac:dyDescent="0.2">
      <c r="A2" s="4" t="s">
        <v>122</v>
      </c>
      <c r="B2" s="13" t="s">
        <v>73</v>
      </c>
      <c r="C2" s="4">
        <f>VLOOKUP(B2,Alquiler,9,FALSE)</f>
        <v>300</v>
      </c>
      <c r="D2" s="4" t="s">
        <v>97</v>
      </c>
      <c r="E2" s="4" t="s">
        <v>63</v>
      </c>
    </row>
    <row r="3" spans="1:5" x14ac:dyDescent="0.2">
      <c r="A3" s="4" t="s">
        <v>123</v>
      </c>
      <c r="B3" s="13" t="s">
        <v>74</v>
      </c>
      <c r="C3" s="4">
        <f>VLOOKUP(B3,Alquiler,9,FALSE)</f>
        <v>250</v>
      </c>
      <c r="D3" s="4" t="s">
        <v>94</v>
      </c>
      <c r="E3" s="4" t="s">
        <v>64</v>
      </c>
    </row>
    <row r="4" spans="1:5" x14ac:dyDescent="0.2">
      <c r="A4" s="4" t="s">
        <v>124</v>
      </c>
      <c r="B4" s="13" t="s">
        <v>72</v>
      </c>
      <c r="C4" s="4">
        <f>VLOOKUP(B4,Alquiler,9,FALSE)</f>
        <v>320</v>
      </c>
      <c r="D4" s="4" t="s">
        <v>100</v>
      </c>
      <c r="E4" s="4" t="s">
        <v>64</v>
      </c>
    </row>
    <row r="5" spans="1:5" x14ac:dyDescent="0.2">
      <c r="A5" s="4" t="s">
        <v>125</v>
      </c>
      <c r="B5" s="13" t="s">
        <v>72</v>
      </c>
      <c r="C5" s="4">
        <f>VLOOKUP(B5,Alquiler,9,FALSE)</f>
        <v>320</v>
      </c>
      <c r="D5" s="4" t="s">
        <v>94</v>
      </c>
      <c r="E5" s="4" t="s">
        <v>65</v>
      </c>
    </row>
    <row r="6" spans="1:5" x14ac:dyDescent="0.2">
      <c r="A6" s="4" t="s">
        <v>126</v>
      </c>
      <c r="B6" s="13" t="s">
        <v>72</v>
      </c>
      <c r="C6" s="4">
        <f>VLOOKUP(B6,Alquiler,9,FALSE)</f>
        <v>320</v>
      </c>
      <c r="D6" s="4" t="s">
        <v>91</v>
      </c>
      <c r="E6" s="4" t="s">
        <v>66</v>
      </c>
    </row>
  </sheetData>
  <dataValidations count="2">
    <dataValidation type="list" allowBlank="1" showInputMessage="1" showErrorMessage="1" sqref="B2:B6" xr:uid="{416C0A9C-BC9C-8647-85AC-4610F8F8B522}">
      <formula1>id_alquiler</formula1>
    </dataValidation>
    <dataValidation type="list" allowBlank="1" showInputMessage="1" showErrorMessage="1" sqref="D2:D6" xr:uid="{D5E22F54-FFD7-1141-9661-2B993A09CE73}">
      <formula1>id_medioDePago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14</vt:i4>
      </vt:variant>
    </vt:vector>
  </HeadingPairs>
  <TitlesOfParts>
    <vt:vector size="22" baseType="lpstr">
      <vt:lpstr>CategoriaAuto</vt:lpstr>
      <vt:lpstr>Categoria</vt:lpstr>
      <vt:lpstr>EstadoAlquiler</vt:lpstr>
      <vt:lpstr>Auto</vt:lpstr>
      <vt:lpstr>Cliente</vt:lpstr>
      <vt:lpstr>Alquiler</vt:lpstr>
      <vt:lpstr>MedioDePago</vt:lpstr>
      <vt:lpstr>Pago</vt:lpstr>
      <vt:lpstr>Alquiler</vt:lpstr>
      <vt:lpstr>Auto</vt:lpstr>
      <vt:lpstr>Categoria</vt:lpstr>
      <vt:lpstr>CategoriaAuto</vt:lpstr>
      <vt:lpstr>Cliente</vt:lpstr>
      <vt:lpstr>Estado_alquiler</vt:lpstr>
      <vt:lpstr>id_alquiler</vt:lpstr>
      <vt:lpstr>id_auto</vt:lpstr>
      <vt:lpstr>id_categoria</vt:lpstr>
      <vt:lpstr>id_categoriaAuto</vt:lpstr>
      <vt:lpstr>id_cliente</vt:lpstr>
      <vt:lpstr>id_estadoAlquiler</vt:lpstr>
      <vt:lpstr>id_medioDePago</vt:lpstr>
      <vt:lpstr>MedioDePago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CANTILLO PLAZA</dc:creator>
  <cp:lastModifiedBy>KARINA CANTILLO PLAZA</cp:lastModifiedBy>
  <dcterms:created xsi:type="dcterms:W3CDTF">2025-03-06T05:35:06Z</dcterms:created>
  <dcterms:modified xsi:type="dcterms:W3CDTF">2025-03-06T21:55:39Z</dcterms:modified>
</cp:coreProperties>
</file>